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rlet\Downloads\"/>
    </mc:Choice>
  </mc:AlternateContent>
  <xr:revisionPtr revIDLastSave="0" documentId="11_886980E3DCA06593DE16FDBC53C8903BE026A039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mpione_IC" sheetId="1" r:id="rId1"/>
    <sheet name="Soluzione completa" sheetId="2" r:id="rId2"/>
    <sheet name="Calcoli esplicit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3" l="1"/>
  <c r="D27" i="3" s="1"/>
  <c r="F27" i="3" s="1"/>
  <c r="B27" i="3"/>
  <c r="B26" i="3"/>
  <c r="C26" i="3" s="1"/>
  <c r="D26" i="3" s="1"/>
  <c r="F26" i="3" s="1"/>
  <c r="B25" i="3"/>
  <c r="C25" i="3" s="1"/>
  <c r="D25" i="3" s="1"/>
  <c r="F25" i="3" s="1"/>
  <c r="E18" i="3"/>
  <c r="E8" i="3"/>
  <c r="E7" i="3"/>
  <c r="E9" i="3" s="1"/>
  <c r="E38" i="2"/>
  <c r="E37" i="2"/>
  <c r="A41" i="2" s="1"/>
  <c r="C28" i="2"/>
  <c r="C27" i="2"/>
  <c r="C26" i="2"/>
  <c r="D26" i="2" s="1"/>
  <c r="C10" i="2"/>
  <c r="C11" i="2" s="1"/>
  <c r="C9" i="2"/>
  <c r="G8" i="2"/>
  <c r="C8" i="2"/>
  <c r="E16" i="3" s="1"/>
  <c r="C7" i="2"/>
  <c r="E28" i="2" s="1"/>
  <c r="D5" i="1"/>
  <c r="E14" i="3" l="1"/>
  <c r="E15" i="3" s="1"/>
  <c r="E17" i="3" s="1"/>
  <c r="E20" i="3" s="1"/>
  <c r="E26" i="3"/>
  <c r="E19" i="3"/>
  <c r="E27" i="3"/>
  <c r="E32" i="3"/>
  <c r="E33" i="3" s="1"/>
  <c r="F37" i="2"/>
  <c r="E26" i="2"/>
  <c r="F26" i="2" s="1"/>
  <c r="G7" i="2"/>
  <c r="F38" i="2"/>
  <c r="D27" i="2"/>
  <c r="E27" i="2"/>
  <c r="F27" i="2" s="1"/>
  <c r="E25" i="3"/>
  <c r="D28" i="2"/>
  <c r="F28" i="2" s="1"/>
  <c r="E36" i="3" l="1"/>
  <c r="E35" i="3"/>
  <c r="E34" i="3"/>
  <c r="G10" i="2"/>
  <c r="G9" i="2"/>
  <c r="E12" i="2" s="1"/>
</calcChain>
</file>

<file path=xl/sharedStrings.xml><?xml version="1.0" encoding="utf-8"?>
<sst xmlns="http://schemas.openxmlformats.org/spreadsheetml/2006/main" count="173" uniqueCount="142">
  <si>
    <t>Esercizio - Intervallo di confidenza</t>
  </si>
  <si>
    <t>Valori del campione</t>
  </si>
  <si>
    <t>Calcoli</t>
  </si>
  <si>
    <t>Osservazione</t>
  </si>
  <si>
    <t>Media Campionaria</t>
  </si>
  <si>
    <t>Livello di confidenza</t>
  </si>
  <si>
    <t>Deviazione standard</t>
  </si>
  <si>
    <t>Dimensione campione</t>
  </si>
  <si>
    <t>Alpha</t>
  </si>
  <si>
    <t>Consegna</t>
  </si>
  <si>
    <t>1</t>
  </si>
  <si>
    <t>Calcola la media campionaria come stima puntuale con MEDIA.</t>
  </si>
  <si>
    <t>2</t>
  </si>
  <si>
    <t>Calcola il margine di errore al 95% e scrivi l'intervallo.</t>
  </si>
  <si>
    <t>3</t>
  </si>
  <si>
    <t>Interpreta a parole l'intervallo evitando l'errore comune.</t>
  </si>
  <si>
    <t>Nota</t>
  </si>
  <si>
    <t>In questo file i dati grezzi sono presenti in A5:A85.</t>
  </si>
  <si>
    <t>STATISTICA INFERENZIALE — INTERVALLI DI CONFIDENZA</t>
  </si>
  <si>
    <t>I risultati sono collegati ai dati grezzi del foglio Campione_IC (A5:A85). Modificando il campione, media e intervalli si aggiornano automaticamente.</t>
  </si>
  <si>
    <t>DATI E PARAMETRI</t>
  </si>
  <si>
    <t>ESERCIZI 1–2 — STIMA E INTERVALLO AL 95%</t>
  </si>
  <si>
    <t>Parametro</t>
  </si>
  <si>
    <t>Riferimento/formula</t>
  </si>
  <si>
    <t>Valore</t>
  </si>
  <si>
    <t>Calcolo</t>
  </si>
  <si>
    <t>Formula</t>
  </si>
  <si>
    <t>Risultato</t>
  </si>
  <si>
    <t>Media campionaria</t>
  </si>
  <si>
    <t>MEDIA(Campione_IC!A5:A85)</t>
  </si>
  <si>
    <t>Stima puntuale</t>
  </si>
  <si>
    <t>MEDIA</t>
  </si>
  <si>
    <t>Deviazione standard nota σ</t>
  </si>
  <si>
    <t>Campione_IC!D7</t>
  </si>
  <si>
    <t>Margine di errore</t>
  </si>
  <si>
    <t>CONFIDENZA.NORM(α;σ;n)</t>
  </si>
  <si>
    <t>Dimensione campione n</t>
  </si>
  <si>
    <t>Campione_IC!D8</t>
  </si>
  <si>
    <t>Limite inferiore</t>
  </si>
  <si>
    <t>media − margine</t>
  </si>
  <si>
    <t>Campione_IC!D6</t>
  </si>
  <si>
    <t>Limite superiore</t>
  </si>
  <si>
    <t>media + margine</t>
  </si>
  <si>
    <t>1 − confidenza</t>
  </si>
  <si>
    <t>ESERCIZIO 3 — INTERPRETAZIONE CORRETTA</t>
  </si>
  <si>
    <t>Con un procedimento che produce intervalli di confidenza al 95%, nel lungo periodo circa il 95% degli intervalli costruiti su campioni ripetuti conterrà la vera media della popolazione. Non è corretto dire che esiste il 95% di probabilità che la media vera sia in questo specifico intervallo: dopo il calcolo, l’intervallo o contiene il parametro oppure non lo contiene.</t>
  </si>
  <si>
    <t>ESERCIZIO 4 — CONFRONTO 90%, 95% E 99%</t>
  </si>
  <si>
    <t>Confidenza</t>
  </si>
  <si>
    <t>Margine</t>
  </si>
  <si>
    <t>Ampiezza</t>
  </si>
  <si>
    <t>Intervallo più stretto</t>
  </si>
  <si>
    <t>Compromesso più usato</t>
  </si>
  <si>
    <t>Intervallo più ampio</t>
  </si>
  <si>
    <t>Con deviazione standard e dimensione del campione costanti, aumentando il livello di confidenza aumenta il valore critico, quindi crescono il margine di errore e l’ampiezza dell’intervallo.</t>
  </si>
  <si>
    <t>ESERCIZIO 5 — NUOVO CAMPIONE n = 324</t>
  </si>
  <si>
    <t>Dimensione n</t>
  </si>
  <si>
    <t>Deviazione σ</t>
  </si>
  <si>
    <t>Margine 95%</t>
  </si>
  <si>
    <t>Intervallo</t>
  </si>
  <si>
    <t>COME SONO STATI SVOLTI I CALCOLI</t>
  </si>
  <si>
    <t>Le celle verdi contengono formule Excel attive. Se modifichi i dati del campione, i risultati si aggiornano automaticamente.</t>
  </si>
  <si>
    <t>1. MEDIA CAMPIONARIA — STIMA PUNTUALE</t>
  </si>
  <si>
    <t>Passaggio</t>
  </si>
  <si>
    <t>Formula matematica</t>
  </si>
  <si>
    <t>Sostituzione numerica</t>
  </si>
  <si>
    <t>Formula Excel usata</t>
  </si>
  <si>
    <t>Spiegazione</t>
  </si>
  <si>
    <t>Somma dei voti</t>
  </si>
  <si>
    <t>Σxᵢ</t>
  </si>
  <si>
    <t>Somma degli 81 voti</t>
  </si>
  <si>
    <t>=SOMMA(Campione_IC!A5:A85)</t>
  </si>
  <si>
    <t>Totale dei valori osservati</t>
  </si>
  <si>
    <t>Numero di osservazioni</t>
  </si>
  <si>
    <t>n</t>
  </si>
  <si>
    <t>Conteggio dei voti</t>
  </si>
  <si>
    <t>=CONTA.NUMERI(Campione_IC!A5:A85)</t>
  </si>
  <si>
    <t>Dimensione effettiva del campione</t>
  </si>
  <si>
    <t>x̄ = Σxᵢ / n</t>
  </si>
  <si>
    <t>4212 / 81</t>
  </si>
  <si>
    <t>=SOMMA(...)/CONTA.NUMERI(...)</t>
  </si>
  <si>
    <t>Stima puntuale della media della popolazione</t>
  </si>
  <si>
    <t>2. INTERVALLO DI CONFIDENZA AL 95%</t>
  </si>
  <si>
    <t>α = 1 − 0,95</t>
  </si>
  <si>
    <t>1 − 0,95</t>
  </si>
  <si>
    <t>=1-95%</t>
  </si>
  <si>
    <t>Rischio complessivo fuori dall’intervallo</t>
  </si>
  <si>
    <t>Valore critico z</t>
  </si>
  <si>
    <t>z = Φ⁻¹(1 − α/2)</t>
  </si>
  <si>
    <t>Φ⁻¹(0,975)</t>
  </si>
  <si>
    <t>=INV.NORM.ST(1-E14/2)</t>
  </si>
  <si>
    <t>Quantile della normale standard</t>
  </si>
  <si>
    <t>Errore standard</t>
  </si>
  <si>
    <t>SE = σ / √n</t>
  </si>
  <si>
    <t>9 / √81</t>
  </si>
  <si>
    <t>=σ/RADQ(n)</t>
  </si>
  <si>
    <t>Variabilità della media campionaria</t>
  </si>
  <si>
    <t>E = z × SE</t>
  </si>
  <si>
    <t>1,959964 × 1</t>
  </si>
  <si>
    <t>=z*SE</t>
  </si>
  <si>
    <t>Distanza tra la media e ciascun limite</t>
  </si>
  <si>
    <t>Controllo con CONFIDENZA.NORM</t>
  </si>
  <si>
    <t>E = CONFIDENZA.NORM(α;σ;n)</t>
  </si>
  <si>
    <t>CONFIDENZA.NORM(0,05; 9; 81)</t>
  </si>
  <si>
    <t>=CONFIDENZA.NORM(alpha;σ;n)</t>
  </si>
  <si>
    <t>Verifica: deve coincidere con il margine precedente</t>
  </si>
  <si>
    <t>x̄ − E</t>
  </si>
  <si>
    <t>52 − 1,959964</t>
  </si>
  <si>
    <t>=media-margine</t>
  </si>
  <si>
    <t>Estremo sinistro dell’intervallo</t>
  </si>
  <si>
    <t>x̄ + E</t>
  </si>
  <si>
    <t>52 + 1,959964</t>
  </si>
  <si>
    <t>=media+margine</t>
  </si>
  <si>
    <t>Estremo destro dell’intervallo</t>
  </si>
  <si>
    <t>3. CONFRONTO DEGLI INTERVALLI AL 90%, 95% E 99%</t>
  </si>
  <si>
    <t>Alpha = 1−conf.</t>
  </si>
  <si>
    <t>Margine E = z·σ/√n</t>
  </si>
  <si>
    <t>Intervallo x̄ ± E</t>
  </si>
  <si>
    <t>Ampiezza = 2E</t>
  </si>
  <si>
    <t>4. NUOVO CAMPIONE n = 324</t>
  </si>
  <si>
    <t>Conclusione</t>
  </si>
  <si>
    <t>Nuovo errore standard</t>
  </si>
  <si>
    <t>9 / √324</t>
  </si>
  <si>
    <t>=9/RADQ(324)</t>
  </si>
  <si>
    <t>L’errore standard passa da 1 a 0,5</t>
  </si>
  <si>
    <t>Nuovo margine 95%</t>
  </si>
  <si>
    <t>1,959964 × 0,5</t>
  </si>
  <si>
    <t>=INV.NORM.ST(0,975)*E32</t>
  </si>
  <si>
    <t>Il margine si dimezza</t>
  </si>
  <si>
    <t>Nuovo limite inferiore</t>
  </si>
  <si>
    <t>52 − 0,979982</t>
  </si>
  <si>
    <t>=media-E33</t>
  </si>
  <si>
    <t>Nuovo estremo sinistro</t>
  </si>
  <si>
    <t>Nuovo limite superiore</t>
  </si>
  <si>
    <t>52 + 0,979982</t>
  </si>
  <si>
    <t>=media+E33</t>
  </si>
  <si>
    <t>Nuovo estremo destro</t>
  </si>
  <si>
    <t>Rapporto tra i margini</t>
  </si>
  <si>
    <t>E₃₂₄ / E₈₁</t>
  </si>
  <si>
    <t>0,979982 / 1,959964</t>
  </si>
  <si>
    <t>=E33/E17</t>
  </si>
  <si>
    <t>0,50: il nuovo margine è la metà</t>
  </si>
  <si>
    <t>Conclusione: aumentando la dimensione del campione da 81 a 324 (quattro volte), √n passa da 9 a 18. Perciò errore standard e margine di errore si dimezzano, mentre la stima puntuale rimane 52.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</si>
</sst>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5"/>
      <color rgb="FFFFFFFF"/>
      <name val="Aptos Display"/>
    </font>
    <font>
      <b/>
      <sz val="16"/>
      <color rgb="FFFFFFFF"/>
      <name val="Aptos Display"/>
    </font>
    <font>
      <b/>
      <sz val="11"/>
      <color rgb="FFFFFFFF"/>
      <name val="Aptos"/>
    </font>
    <font>
      <sz val="11"/>
      <name val="Aptos"/>
    </font>
    <font>
      <i/>
      <sz val="11"/>
      <color rgb="FF78350F"/>
      <name val="Aptos"/>
    </font>
    <font>
      <b/>
      <sz val="11"/>
      <color rgb="FF172554"/>
      <name val="Aptos"/>
    </font>
    <font>
      <b/>
      <sz val="11"/>
      <color rgb="FF166534"/>
      <name val="Aptos"/>
    </font>
    <font>
      <sz val="11"/>
      <color rgb="FF166534"/>
      <name val="Aptos"/>
    </font>
    <font>
      <b/>
      <sz val="10"/>
      <color rgb="FFFFFFFF"/>
      <name val="Aptos"/>
    </font>
    <font>
      <sz val="10"/>
      <name val="Aptos"/>
    </font>
    <font>
      <i/>
      <sz val="10"/>
      <color rgb="FF78350F"/>
      <name val="Aptos"/>
    </font>
    <font>
      <b/>
      <sz val="10"/>
      <color rgb="FF172554"/>
      <name val="Aptos"/>
    </font>
    <font>
      <b/>
      <sz val="10"/>
      <color rgb="FF166534"/>
      <name val="Aptos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172554"/>
      </patternFill>
    </fill>
    <fill>
      <patternFill patternType="solid">
        <fgColor rgb="FFFEF3C7"/>
      </patternFill>
    </fill>
    <fill>
      <patternFill patternType="solid">
        <fgColor rgb="FFCBD5E1"/>
      </patternFill>
    </fill>
    <fill>
      <patternFill patternType="solid">
        <fgColor rgb="FF1E3A8A"/>
      </patternFill>
    </fill>
    <fill>
      <patternFill patternType="solid">
        <fgColor rgb="FFEFF6FF"/>
      </patternFill>
    </fill>
    <fill>
      <patternFill patternType="solid">
        <fgColor rgb="FFDCFCE7"/>
      </patternFill>
    </fill>
  </fills>
  <borders count="10">
    <border>
      <left/>
      <right/>
      <top/>
      <bottom/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 style="thin">
        <color rgb="FFE2E8F0"/>
      </top>
      <bottom/>
      <diagonal/>
    </border>
  </borders>
  <cellStyleXfs count="2">
    <xf numFmtId="0" fontId="0" fillId="0" borderId="0"/>
    <xf numFmtId="0" fontId="4" fillId="0" borderId="0"/>
  </cellStyleXfs>
  <cellXfs count="58">
    <xf numFmtId="0" fontId="0" fillId="0" borderId="0" xfId="0"/>
    <xf numFmtId="0" fontId="2" fillId="0" borderId="0" xfId="1" applyFont="1"/>
    <xf numFmtId="2" fontId="0" fillId="0" borderId="0" xfId="1" applyNumberFormat="1" applyFont="1"/>
    <xf numFmtId="9" fontId="0" fillId="0" borderId="0" xfId="0" applyNumberFormat="1"/>
    <xf numFmtId="0" fontId="2" fillId="3" borderId="0" xfId="0" applyFont="1" applyFill="1" applyAlignment="1">
      <alignment wrapText="1"/>
    </xf>
    <xf numFmtId="2" fontId="3" fillId="4" borderId="0" xfId="0" applyNumberFormat="1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7" fillId="8" borderId="0" xfId="0" applyFont="1" applyFill="1" applyAlignment="1">
      <alignment horizontal="center" wrapText="1"/>
    </xf>
    <xf numFmtId="0" fontId="8" fillId="0" borderId="0" xfId="0" applyFont="1" applyAlignment="1">
      <alignment wrapText="1"/>
    </xf>
    <xf numFmtId="2" fontId="8" fillId="9" borderId="0" xfId="0" applyNumberFormat="1" applyFont="1" applyFill="1" applyAlignment="1">
      <alignment wrapText="1"/>
    </xf>
    <xf numFmtId="2" fontId="11" fillId="10" borderId="0" xfId="0" applyNumberFormat="1" applyFont="1" applyFill="1" applyAlignment="1">
      <alignment wrapText="1"/>
    </xf>
    <xf numFmtId="1" fontId="8" fillId="9" borderId="0" xfId="0" applyNumberFormat="1" applyFont="1" applyFill="1" applyAlignment="1">
      <alignment wrapText="1"/>
    </xf>
    <xf numFmtId="10" fontId="8" fillId="9" borderId="0" xfId="0" applyNumberFormat="1" applyFont="1" applyFill="1" applyAlignment="1">
      <alignment wrapText="1"/>
    </xf>
    <xf numFmtId="9" fontId="8" fillId="0" borderId="1" xfId="0" applyNumberFormat="1" applyFont="1" applyBorder="1" applyAlignment="1">
      <alignment wrapText="1"/>
    </xf>
    <xf numFmtId="9" fontId="8" fillId="0" borderId="2" xfId="0" applyNumberFormat="1" applyFont="1" applyBorder="1" applyAlignment="1">
      <alignment wrapText="1"/>
    </xf>
    <xf numFmtId="2" fontId="8" fillId="9" borderId="2" xfId="0" applyNumberFormat="1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9" fontId="8" fillId="0" borderId="4" xfId="0" applyNumberFormat="1" applyFont="1" applyBorder="1" applyAlignment="1">
      <alignment wrapText="1"/>
    </xf>
    <xf numFmtId="9" fontId="8" fillId="0" borderId="5" xfId="0" applyNumberFormat="1" applyFont="1" applyBorder="1" applyAlignment="1">
      <alignment wrapText="1"/>
    </xf>
    <xf numFmtId="2" fontId="8" fillId="9" borderId="5" xfId="0" applyNumberFormat="1" applyFont="1" applyFill="1" applyBorder="1" applyAlignment="1">
      <alignment wrapText="1"/>
    </xf>
    <xf numFmtId="0" fontId="8" fillId="0" borderId="6" xfId="0" applyFont="1" applyBorder="1" applyAlignment="1">
      <alignment wrapText="1"/>
    </xf>
    <xf numFmtId="9" fontId="8" fillId="0" borderId="7" xfId="0" applyNumberFormat="1" applyFont="1" applyBorder="1" applyAlignment="1">
      <alignment wrapText="1"/>
    </xf>
    <xf numFmtId="9" fontId="8" fillId="0" borderId="8" xfId="0" applyNumberFormat="1" applyFont="1" applyBorder="1" applyAlignment="1">
      <alignment wrapText="1"/>
    </xf>
    <xf numFmtId="2" fontId="8" fillId="9" borderId="8" xfId="0" applyNumberFormat="1" applyFont="1" applyFill="1" applyBorder="1" applyAlignment="1">
      <alignment wrapText="1"/>
    </xf>
    <xf numFmtId="0" fontId="8" fillId="0" borderId="9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2" fontId="8" fillId="10" borderId="2" xfId="0" applyNumberFormat="1" applyFont="1" applyFill="1" applyBorder="1" applyAlignment="1">
      <alignment wrapText="1"/>
    </xf>
    <xf numFmtId="0" fontId="8" fillId="10" borderId="3" xfId="0" applyFont="1" applyFill="1" applyBorder="1" applyAlignment="1">
      <alignment wrapText="1"/>
    </xf>
    <xf numFmtId="0" fontId="8" fillId="0" borderId="7" xfId="0" applyFont="1" applyBorder="1" applyAlignment="1">
      <alignment wrapText="1"/>
    </xf>
    <xf numFmtId="0" fontId="8" fillId="0" borderId="8" xfId="0" applyFont="1" applyBorder="1" applyAlignment="1">
      <alignment wrapText="1"/>
    </xf>
    <xf numFmtId="2" fontId="8" fillId="10" borderId="8" xfId="0" applyNumberFormat="1" applyFont="1" applyFill="1" applyBorder="1" applyAlignment="1">
      <alignment wrapText="1"/>
    </xf>
    <xf numFmtId="0" fontId="8" fillId="10" borderId="9" xfId="0" applyFont="1" applyFill="1" applyBorder="1" applyAlignment="1">
      <alignment wrapText="1"/>
    </xf>
    <xf numFmtId="0" fontId="13" fillId="8" borderId="0" xfId="0" applyFont="1" applyFill="1" applyAlignment="1">
      <alignment horizontal="center" wrapText="1"/>
    </xf>
    <xf numFmtId="0" fontId="14" fillId="0" borderId="0" xfId="0" applyFont="1" applyAlignment="1">
      <alignment wrapText="1"/>
    </xf>
    <xf numFmtId="0" fontId="17" fillId="10" borderId="0" xfId="0" applyFont="1" applyFill="1" applyAlignment="1">
      <alignment wrapText="1"/>
    </xf>
    <xf numFmtId="0" fontId="17" fillId="10" borderId="0" xfId="0" applyFont="1" applyFill="1" applyAlignment="1">
      <alignment horizontal="center" wrapText="1"/>
    </xf>
    <xf numFmtId="2" fontId="17" fillId="10" borderId="0" xfId="0" applyNumberFormat="1" applyFont="1" applyFill="1" applyAlignment="1">
      <alignment wrapText="1"/>
    </xf>
    <xf numFmtId="10" fontId="17" fillId="10" borderId="0" xfId="0" applyNumberFormat="1" applyFont="1" applyFill="1" applyAlignment="1">
      <alignment wrapText="1"/>
    </xf>
    <xf numFmtId="164" fontId="17" fillId="10" borderId="0" xfId="0" applyNumberFormat="1" applyFont="1" applyFill="1" applyAlignment="1">
      <alignment wrapText="1"/>
    </xf>
    <xf numFmtId="9" fontId="14" fillId="0" borderId="0" xfId="0" applyNumberFormat="1" applyFont="1" applyAlignment="1">
      <alignment wrapText="1"/>
    </xf>
    <xf numFmtId="164" fontId="14" fillId="0" borderId="0" xfId="0" applyNumberFormat="1" applyFont="1" applyAlignment="1">
      <alignment wrapText="1"/>
    </xf>
    <xf numFmtId="0" fontId="5" fillId="5" borderId="0" xfId="0" applyFont="1" applyFill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2" fillId="3" borderId="0" xfId="0" applyFont="1" applyFill="1" applyAlignment="1">
      <alignment wrapText="1"/>
    </xf>
    <xf numFmtId="0" fontId="2" fillId="3" borderId="0" xfId="1" applyFont="1" applyFill="1"/>
    <xf numFmtId="0" fontId="6" fillId="5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wrapText="1"/>
    </xf>
    <xf numFmtId="0" fontId="10" fillId="7" borderId="0" xfId="0" applyFont="1" applyFill="1" applyAlignment="1">
      <alignment horizontal="center" wrapText="1"/>
    </xf>
    <xf numFmtId="0" fontId="10" fillId="9" borderId="0" xfId="0" applyFont="1" applyFill="1" applyAlignment="1">
      <alignment vertical="center" wrapText="1"/>
    </xf>
    <xf numFmtId="0" fontId="12" fillId="10" borderId="0" xfId="0" applyFont="1" applyFill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11" fillId="10" borderId="0" xfId="0" applyFont="1" applyFill="1" applyAlignment="1">
      <alignment vertical="center" wrapText="1"/>
    </xf>
    <xf numFmtId="0" fontId="15" fillId="6" borderId="0" xfId="0" applyFont="1" applyFill="1" applyAlignment="1">
      <alignment wrapText="1"/>
    </xf>
    <xf numFmtId="0" fontId="16" fillId="7" borderId="0" xfId="0" applyFont="1" applyFill="1" applyAlignment="1">
      <alignment horizontal="center" wrapText="1"/>
    </xf>
    <xf numFmtId="0" fontId="17" fillId="10" borderId="0" xfId="0" applyFont="1" applyFill="1" applyAlignment="1">
      <alignment horizontal="center" wrapText="1"/>
    </xf>
    <xf numFmtId="0" fontId="17" fillId="10" borderId="0" xfId="0" applyFont="1" applyFill="1" applyAlignment="1">
      <alignment vertical="center" wrapText="1"/>
    </xf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showGridLines="0" tabSelected="1" workbookViewId="0">
      <selection sqref="A1:F1"/>
    </sheetView>
  </sheetViews>
  <sheetFormatPr defaultColWidth="8.77734375" defaultRowHeight="14.4" x14ac:dyDescent="0.3"/>
  <cols>
    <col min="1" max="1" width="20" customWidth="1"/>
    <col min="2" max="2" width="4" customWidth="1"/>
    <col min="3" max="3" width="28" customWidth="1"/>
    <col min="4" max="4" width="62" customWidth="1"/>
    <col min="5" max="5" width="14" customWidth="1"/>
    <col min="6" max="6" width="18.44140625" customWidth="1"/>
  </cols>
  <sheetData>
    <row r="1" spans="1:6" ht="31.95" customHeight="1" x14ac:dyDescent="0.3">
      <c r="A1" s="43" t="s">
        <v>0</v>
      </c>
      <c r="B1" s="43"/>
      <c r="C1" s="43"/>
      <c r="D1" s="43"/>
      <c r="E1" s="44"/>
      <c r="F1" s="44"/>
    </row>
    <row r="3" spans="1:6" x14ac:dyDescent="0.3">
      <c r="A3" s="4" t="s">
        <v>1</v>
      </c>
      <c r="B3" s="4"/>
      <c r="C3" s="45" t="s">
        <v>2</v>
      </c>
      <c r="D3" s="45"/>
      <c r="E3" s="46"/>
      <c r="F3" s="46"/>
    </row>
    <row r="4" spans="1:6" x14ac:dyDescent="0.3">
      <c r="A4" s="5" t="s">
        <v>3</v>
      </c>
      <c r="B4" s="6"/>
      <c r="C4" s="6"/>
      <c r="D4" s="6"/>
    </row>
    <row r="5" spans="1:6" x14ac:dyDescent="0.3">
      <c r="A5" s="2">
        <v>50.226791890560854</v>
      </c>
      <c r="C5" t="s">
        <v>4</v>
      </c>
      <c r="D5" s="2">
        <f>AVERAGE(A5:A85)</f>
        <v>52.000000000000014</v>
      </c>
    </row>
    <row r="6" spans="1:6" x14ac:dyDescent="0.3">
      <c r="A6" s="2">
        <v>49.929976818027036</v>
      </c>
      <c r="C6" t="s">
        <v>5</v>
      </c>
      <c r="D6" s="3">
        <v>0.95</v>
      </c>
    </row>
    <row r="7" spans="1:6" x14ac:dyDescent="0.3">
      <c r="A7" s="2">
        <v>50.56441257177115</v>
      </c>
      <c r="C7" t="s">
        <v>6</v>
      </c>
      <c r="D7">
        <v>9</v>
      </c>
    </row>
    <row r="8" spans="1:6" x14ac:dyDescent="0.3">
      <c r="A8" s="2">
        <v>58.942481756369347</v>
      </c>
      <c r="C8" t="s">
        <v>7</v>
      </c>
      <c r="D8">
        <v>81</v>
      </c>
    </row>
    <row r="9" spans="1:6" x14ac:dyDescent="0.3">
      <c r="A9" s="2">
        <v>50.396784945549271</v>
      </c>
      <c r="C9" t="s">
        <v>8</v>
      </c>
      <c r="D9" s="3">
        <v>0.05</v>
      </c>
    </row>
    <row r="10" spans="1:6" x14ac:dyDescent="0.3">
      <c r="A10" s="2">
        <v>36.286379359949052</v>
      </c>
      <c r="C10" s="1"/>
      <c r="D10" s="2"/>
    </row>
    <row r="11" spans="1:6" x14ac:dyDescent="0.3">
      <c r="A11" s="2">
        <v>55.134435879789187</v>
      </c>
      <c r="C11" s="1"/>
      <c r="D11" s="2"/>
    </row>
    <row r="12" spans="1:6" x14ac:dyDescent="0.3">
      <c r="A12" s="2">
        <v>48.957182072262427</v>
      </c>
      <c r="C12" s="1"/>
      <c r="D12" s="2"/>
    </row>
    <row r="13" spans="1:6" x14ac:dyDescent="0.3">
      <c r="A13" s="2">
        <v>49.476150766501469</v>
      </c>
    </row>
    <row r="14" spans="1:6" x14ac:dyDescent="0.3">
      <c r="A14" s="2">
        <v>52.904881915646136</v>
      </c>
    </row>
    <row r="15" spans="1:6" ht="28.05" customHeight="1" x14ac:dyDescent="0.3">
      <c r="A15" s="2">
        <v>54.104090382977908</v>
      </c>
      <c r="C15" s="45" t="s">
        <v>9</v>
      </c>
      <c r="D15" s="45"/>
      <c r="E15" s="46"/>
      <c r="F15" s="46"/>
    </row>
    <row r="16" spans="1:6" ht="28.05" customHeight="1" x14ac:dyDescent="0.3">
      <c r="A16" s="2">
        <v>63.697318749681642</v>
      </c>
      <c r="C16" s="7" t="s">
        <v>10</v>
      </c>
      <c r="D16" s="6" t="s">
        <v>11</v>
      </c>
    </row>
    <row r="17" spans="1:4" ht="28.05" customHeight="1" x14ac:dyDescent="0.3">
      <c r="A17" s="2">
        <v>58.475344998307918</v>
      </c>
      <c r="C17" s="7" t="s">
        <v>12</v>
      </c>
      <c r="D17" s="6" t="s">
        <v>13</v>
      </c>
    </row>
    <row r="18" spans="1:4" ht="28.05" customHeight="1" x14ac:dyDescent="0.3">
      <c r="A18" s="2">
        <v>52.849485376484303</v>
      </c>
      <c r="C18" s="7" t="s">
        <v>14</v>
      </c>
      <c r="D18" s="6" t="s">
        <v>15</v>
      </c>
    </row>
    <row r="19" spans="1:4" ht="28.05" customHeight="1" x14ac:dyDescent="0.3">
      <c r="A19" s="2">
        <v>44.10541817230002</v>
      </c>
      <c r="C19" s="7" t="s">
        <v>16</v>
      </c>
      <c r="D19" s="6" t="s">
        <v>17</v>
      </c>
    </row>
    <row r="20" spans="1:4" x14ac:dyDescent="0.3">
      <c r="A20" s="2">
        <v>41.258740162316862</v>
      </c>
    </row>
    <row r="21" spans="1:4" x14ac:dyDescent="0.3">
      <c r="A21" s="2">
        <v>54.248767012923615</v>
      </c>
    </row>
    <row r="22" spans="1:4" x14ac:dyDescent="0.3">
      <c r="A22" s="2">
        <v>65.21699332041851</v>
      </c>
    </row>
    <row r="23" spans="1:4" x14ac:dyDescent="0.3">
      <c r="A23" s="2">
        <v>52.140235427658659</v>
      </c>
    </row>
    <row r="24" spans="1:4" x14ac:dyDescent="0.3">
      <c r="A24" s="2">
        <v>50.615842670958195</v>
      </c>
    </row>
    <row r="25" spans="1:4" x14ac:dyDescent="0.3">
      <c r="A25" s="2">
        <v>57.189117715029539</v>
      </c>
    </row>
    <row r="26" spans="1:4" x14ac:dyDescent="0.3">
      <c r="A26" s="2">
        <v>36.737661317417022</v>
      </c>
    </row>
    <row r="27" spans="1:4" x14ac:dyDescent="0.3">
      <c r="A27" s="2">
        <v>48.494241867318117</v>
      </c>
    </row>
    <row r="28" spans="1:4" x14ac:dyDescent="0.3">
      <c r="A28" s="2">
        <v>56.76250156112075</v>
      </c>
    </row>
    <row r="29" spans="1:4" x14ac:dyDescent="0.3">
      <c r="A29" s="2">
        <v>60.708342916322337</v>
      </c>
    </row>
    <row r="30" spans="1:4" x14ac:dyDescent="0.3">
      <c r="A30" s="2">
        <v>49.232308051399457</v>
      </c>
    </row>
    <row r="31" spans="1:4" x14ac:dyDescent="0.3">
      <c r="A31" s="2">
        <v>55.590594470263071</v>
      </c>
    </row>
    <row r="32" spans="1:4" x14ac:dyDescent="0.3">
      <c r="A32" s="2">
        <v>54.268043423133321</v>
      </c>
    </row>
    <row r="33" spans="1:1" x14ac:dyDescent="0.3">
      <c r="A33" s="2">
        <v>59.770122547020328</v>
      </c>
    </row>
    <row r="34" spans="1:1" x14ac:dyDescent="0.3">
      <c r="A34" s="2">
        <v>40.243442443591881</v>
      </c>
    </row>
    <row r="35" spans="1:1" x14ac:dyDescent="0.3">
      <c r="A35" s="2">
        <v>57.56485331671076</v>
      </c>
    </row>
    <row r="36" spans="1:1" x14ac:dyDescent="0.3">
      <c r="A36" s="2">
        <v>36.109536623799862</v>
      </c>
    </row>
    <row r="37" spans="1:1" x14ac:dyDescent="0.3">
      <c r="A37" s="2">
        <v>24.722186211115726</v>
      </c>
    </row>
    <row r="38" spans="1:1" x14ac:dyDescent="0.3">
      <c r="A38" s="2">
        <v>45.459331262425799</v>
      </c>
    </row>
    <row r="39" spans="1:1" x14ac:dyDescent="0.3">
      <c r="A39" s="2">
        <v>42.277050756790402</v>
      </c>
    </row>
    <row r="40" spans="1:1" x14ac:dyDescent="0.3">
      <c r="A40" s="2">
        <v>60.735207324468298</v>
      </c>
    </row>
    <row r="41" spans="1:1" x14ac:dyDescent="0.3">
      <c r="A41" s="2">
        <v>58.553937907835945</v>
      </c>
    </row>
    <row r="42" spans="1:1" x14ac:dyDescent="0.3">
      <c r="A42" s="2">
        <v>39.15302040292223</v>
      </c>
    </row>
    <row r="43" spans="1:1" x14ac:dyDescent="0.3">
      <c r="A43" s="2">
        <v>60.440065714110027</v>
      </c>
    </row>
    <row r="44" spans="1:1" x14ac:dyDescent="0.3">
      <c r="A44" s="2">
        <v>41.387090055799575</v>
      </c>
    </row>
    <row r="45" spans="1:1" x14ac:dyDescent="0.3">
      <c r="A45" s="2">
        <v>50.822687728490145</v>
      </c>
    </row>
    <row r="46" spans="1:1" x14ac:dyDescent="0.3">
      <c r="A46" s="2">
        <v>48.683555002704097</v>
      </c>
    </row>
    <row r="47" spans="1:1" x14ac:dyDescent="0.3">
      <c r="A47" s="2">
        <v>52.889791192960523</v>
      </c>
    </row>
    <row r="48" spans="1:1" x14ac:dyDescent="0.3">
      <c r="A48" s="2">
        <v>60.144158796196066</v>
      </c>
    </row>
    <row r="49" spans="1:1" x14ac:dyDescent="0.3">
      <c r="A49" s="2">
        <v>58.287626747943136</v>
      </c>
    </row>
    <row r="50" spans="1:1" x14ac:dyDescent="0.3">
      <c r="A50" s="2">
        <v>55.315396886806568</v>
      </c>
    </row>
    <row r="51" spans="1:1" x14ac:dyDescent="0.3">
      <c r="A51" s="2">
        <v>58.406445475682261</v>
      </c>
    </row>
    <row r="52" spans="1:1" x14ac:dyDescent="0.3">
      <c r="A52" s="2">
        <v>56.640219649852469</v>
      </c>
    </row>
    <row r="53" spans="1:1" x14ac:dyDescent="0.3">
      <c r="A53" s="2">
        <v>45.252328701794092</v>
      </c>
    </row>
    <row r="54" spans="1:1" x14ac:dyDescent="0.3">
      <c r="A54" s="2">
        <v>44.321236319486793</v>
      </c>
    </row>
    <row r="55" spans="1:1" x14ac:dyDescent="0.3">
      <c r="A55" s="2">
        <v>46.869814941349929</v>
      </c>
    </row>
    <row r="56" spans="1:1" x14ac:dyDescent="0.3">
      <c r="A56" s="2">
        <v>56.854841341588774</v>
      </c>
    </row>
    <row r="57" spans="1:1" x14ac:dyDescent="0.3">
      <c r="A57" s="2">
        <v>49.1345906617778</v>
      </c>
    </row>
    <row r="58" spans="1:1" x14ac:dyDescent="0.3">
      <c r="A58" s="2">
        <v>75.772494316589103</v>
      </c>
    </row>
    <row r="59" spans="1:1" x14ac:dyDescent="0.3">
      <c r="A59" s="2">
        <v>43.271309626006577</v>
      </c>
    </row>
    <row r="60" spans="1:1" x14ac:dyDescent="0.3">
      <c r="A60" s="2">
        <v>40.391241984616521</v>
      </c>
    </row>
    <row r="61" spans="1:1" x14ac:dyDescent="0.3">
      <c r="A61" s="2">
        <v>59.627415171962838</v>
      </c>
    </row>
    <row r="62" spans="1:1" x14ac:dyDescent="0.3">
      <c r="A62" s="2">
        <v>66.358063169849004</v>
      </c>
    </row>
    <row r="63" spans="1:1" x14ac:dyDescent="0.3">
      <c r="A63" s="2">
        <v>56.920422613214278</v>
      </c>
    </row>
    <row r="64" spans="1:1" x14ac:dyDescent="0.3">
      <c r="A64" s="2">
        <v>60.32114633858059</v>
      </c>
    </row>
    <row r="65" spans="1:1" x14ac:dyDescent="0.3">
      <c r="A65" s="2">
        <v>66.404367617701652</v>
      </c>
    </row>
    <row r="66" spans="1:1" x14ac:dyDescent="0.3">
      <c r="A66" s="2">
        <v>50.742505973776872</v>
      </c>
    </row>
    <row r="67" spans="1:1" x14ac:dyDescent="0.3">
      <c r="A67" s="2">
        <v>37.052741621384754</v>
      </c>
    </row>
    <row r="68" spans="1:1" x14ac:dyDescent="0.3">
      <c r="A68" s="2">
        <v>46.230016979357359</v>
      </c>
    </row>
    <row r="69" spans="1:1" x14ac:dyDescent="0.3">
      <c r="A69" s="2">
        <v>61.527209942183703</v>
      </c>
    </row>
    <row r="70" spans="1:1" x14ac:dyDescent="0.3">
      <c r="A70" s="2">
        <v>36.839303448539432</v>
      </c>
    </row>
    <row r="71" spans="1:1" x14ac:dyDescent="0.3">
      <c r="A71" s="2">
        <v>52.05653150907149</v>
      </c>
    </row>
    <row r="72" spans="1:1" x14ac:dyDescent="0.3">
      <c r="A72" s="2">
        <v>54.319796388905814</v>
      </c>
    </row>
    <row r="73" spans="1:1" x14ac:dyDescent="0.3">
      <c r="A73" s="2">
        <v>48.46009452043203</v>
      </c>
    </row>
    <row r="74" spans="1:1" x14ac:dyDescent="0.3">
      <c r="A74" s="2">
        <v>59.165487686303827</v>
      </c>
    </row>
    <row r="75" spans="1:1" x14ac:dyDescent="0.3">
      <c r="A75" s="2">
        <v>57.69391926295944</v>
      </c>
    </row>
    <row r="76" spans="1:1" x14ac:dyDescent="0.3">
      <c r="A76" s="2">
        <v>75.624714438399081</v>
      </c>
    </row>
    <row r="77" spans="1:1" x14ac:dyDescent="0.3">
      <c r="A77" s="2">
        <v>58.097608137863816</v>
      </c>
    </row>
    <row r="78" spans="1:1" x14ac:dyDescent="0.3">
      <c r="A78" s="2">
        <v>45.433446791508175</v>
      </c>
    </row>
    <row r="79" spans="1:1" x14ac:dyDescent="0.3">
      <c r="A79" s="2">
        <v>45.923850632932151</v>
      </c>
    </row>
    <row r="80" spans="1:1" x14ac:dyDescent="0.3">
      <c r="A80" s="2">
        <v>43.14472109745698</v>
      </c>
    </row>
    <row r="81" spans="1:1" x14ac:dyDescent="0.3">
      <c r="A81" s="2">
        <v>61.520800479061776</v>
      </c>
    </row>
    <row r="82" spans="1:1" x14ac:dyDescent="0.3">
      <c r="A82" s="2">
        <v>45.87198092766301</v>
      </c>
    </row>
    <row r="83" spans="1:1" x14ac:dyDescent="0.3">
      <c r="A83" s="2">
        <v>50.987334668583998</v>
      </c>
    </row>
    <row r="84" spans="1:1" x14ac:dyDescent="0.3">
      <c r="A84" s="2">
        <v>59.429929402684039</v>
      </c>
    </row>
    <row r="85" spans="1:1" x14ac:dyDescent="0.3">
      <c r="A85" s="2">
        <v>44.258481666731065</v>
      </c>
    </row>
  </sheetData>
  <mergeCells count="3">
    <mergeCell ref="A1:F1"/>
    <mergeCell ref="C3:F3"/>
    <mergeCell ref="C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"/>
  <sheetViews>
    <sheetView showGridLines="0" workbookViewId="0"/>
  </sheetViews>
  <sheetFormatPr defaultRowHeight="14.4" x14ac:dyDescent="0.3"/>
  <cols>
    <col min="1" max="1" width="25" customWidth="1"/>
    <col min="2" max="2" width="31" customWidth="1"/>
    <col min="3" max="3" width="18" customWidth="1"/>
    <col min="4" max="4" width="19" customWidth="1"/>
    <col min="5" max="5" width="24" customWidth="1"/>
    <col min="6" max="7" width="27" customWidth="1"/>
    <col min="8" max="8" width="20" customWidth="1"/>
  </cols>
  <sheetData>
    <row r="1" spans="1:8" ht="34.049999999999997" customHeight="1" x14ac:dyDescent="0.3">
      <c r="A1" s="47" t="s">
        <v>18</v>
      </c>
      <c r="B1" s="47"/>
      <c r="C1" s="47"/>
      <c r="D1" s="47"/>
      <c r="E1" s="47"/>
      <c r="F1" s="47"/>
      <c r="G1" s="47"/>
      <c r="H1" s="47"/>
    </row>
    <row r="2" spans="1:8" x14ac:dyDescent="0.3">
      <c r="A2" s="9"/>
      <c r="B2" s="9"/>
      <c r="C2" s="9"/>
      <c r="D2" s="9"/>
      <c r="E2" s="9"/>
      <c r="F2" s="9"/>
      <c r="G2" s="9"/>
      <c r="H2" s="9"/>
    </row>
    <row r="3" spans="1:8" x14ac:dyDescent="0.3">
      <c r="A3" s="48" t="s">
        <v>19</v>
      </c>
      <c r="B3" s="48"/>
      <c r="C3" s="48"/>
      <c r="D3" s="48"/>
      <c r="E3" s="48"/>
      <c r="F3" s="48"/>
      <c r="G3" s="48"/>
      <c r="H3" s="48"/>
    </row>
    <row r="4" spans="1:8" x14ac:dyDescent="0.3">
      <c r="A4" s="9"/>
      <c r="B4" s="9"/>
      <c r="C4" s="9"/>
      <c r="D4" s="9"/>
      <c r="E4" s="9"/>
      <c r="F4" s="9"/>
      <c r="G4" s="9"/>
      <c r="H4" s="9"/>
    </row>
    <row r="5" spans="1:8" x14ac:dyDescent="0.3">
      <c r="A5" s="49" t="s">
        <v>20</v>
      </c>
      <c r="B5" s="49"/>
      <c r="C5" s="49"/>
      <c r="D5" s="9"/>
      <c r="E5" s="49" t="s">
        <v>21</v>
      </c>
      <c r="F5" s="49"/>
      <c r="G5" s="49"/>
      <c r="H5" s="49"/>
    </row>
    <row r="6" spans="1:8" x14ac:dyDescent="0.3">
      <c r="A6" s="8" t="s">
        <v>22</v>
      </c>
      <c r="B6" s="8" t="s">
        <v>23</v>
      </c>
      <c r="C6" s="8" t="s">
        <v>24</v>
      </c>
      <c r="D6" s="9"/>
      <c r="E6" s="8" t="s">
        <v>25</v>
      </c>
      <c r="F6" s="8" t="s">
        <v>26</v>
      </c>
      <c r="G6" s="8" t="s">
        <v>27</v>
      </c>
      <c r="H6" s="9"/>
    </row>
    <row r="7" spans="1:8" x14ac:dyDescent="0.3">
      <c r="A7" s="9" t="s">
        <v>28</v>
      </c>
      <c r="B7" s="9" t="s">
        <v>29</v>
      </c>
      <c r="C7" s="10">
        <f>AVERAGE(Campione_IC!A5:A85)</f>
        <v>52.000000000000014</v>
      </c>
      <c r="D7" s="9"/>
      <c r="E7" s="9" t="s">
        <v>30</v>
      </c>
      <c r="F7" s="9" t="s">
        <v>31</v>
      </c>
      <c r="G7" s="11">
        <f>C7</f>
        <v>52.000000000000014</v>
      </c>
      <c r="H7" s="9"/>
    </row>
    <row r="8" spans="1:8" x14ac:dyDescent="0.3">
      <c r="A8" s="9" t="s">
        <v>32</v>
      </c>
      <c r="B8" s="9" t="s">
        <v>33</v>
      </c>
      <c r="C8" s="10">
        <f>Campione_IC!D7</f>
        <v>9</v>
      </c>
      <c r="D8" s="9"/>
      <c r="E8" s="9" t="s">
        <v>34</v>
      </c>
      <c r="F8" s="9" t="s">
        <v>35</v>
      </c>
      <c r="G8" s="11" t="e">
        <f ca="1">_xludf.CONFIDENCE.NORM(C11,C8,C9)</f>
        <v>#NAME?</v>
      </c>
      <c r="H8" s="9"/>
    </row>
    <row r="9" spans="1:8" x14ac:dyDescent="0.3">
      <c r="A9" s="9" t="s">
        <v>36</v>
      </c>
      <c r="B9" s="9" t="s">
        <v>37</v>
      </c>
      <c r="C9" s="12">
        <f>Campione_IC!D8</f>
        <v>81</v>
      </c>
      <c r="D9" s="9"/>
      <c r="E9" s="9" t="s">
        <v>38</v>
      </c>
      <c r="F9" s="9" t="s">
        <v>39</v>
      </c>
      <c r="G9" s="11" t="e">
        <f ca="1">G7-G8</f>
        <v>#NAME?</v>
      </c>
      <c r="H9" s="9"/>
    </row>
    <row r="10" spans="1:8" x14ac:dyDescent="0.3">
      <c r="A10" s="9" t="s">
        <v>5</v>
      </c>
      <c r="B10" s="9" t="s">
        <v>40</v>
      </c>
      <c r="C10" s="13">
        <f>Campione_IC!D6</f>
        <v>0.95</v>
      </c>
      <c r="D10" s="9"/>
      <c r="E10" s="9" t="s">
        <v>41</v>
      </c>
      <c r="F10" s="9" t="s">
        <v>42</v>
      </c>
      <c r="G10" s="11" t="e">
        <f ca="1">G7+G8</f>
        <v>#NAME?</v>
      </c>
      <c r="H10" s="9"/>
    </row>
    <row r="11" spans="1:8" x14ac:dyDescent="0.3">
      <c r="A11" s="9" t="s">
        <v>8</v>
      </c>
      <c r="B11" s="9" t="s">
        <v>43</v>
      </c>
      <c r="C11" s="13">
        <f>1-C10</f>
        <v>5.0000000000000044E-2</v>
      </c>
      <c r="D11" s="9"/>
      <c r="E11" s="9"/>
      <c r="F11" s="9"/>
      <c r="G11" s="9"/>
      <c r="H11" s="9"/>
    </row>
    <row r="12" spans="1:8" x14ac:dyDescent="0.3">
      <c r="A12" s="9"/>
      <c r="B12" s="9"/>
      <c r="C12" s="9"/>
      <c r="D12" s="9"/>
      <c r="E12" s="50" t="e">
        <f ca="1">"Intervallo al 95%: ["&amp;TEXT(G9,"0.00")&amp;"; "&amp;TEXT(G10,"0.00")&amp;"]. Margine di errore: ±"&amp;TEXT(G8,"0.00")&amp;"."</f>
        <v>#NAME?</v>
      </c>
      <c r="F12" s="50"/>
      <c r="G12" s="50"/>
      <c r="H12" s="50"/>
    </row>
    <row r="13" spans="1:8" x14ac:dyDescent="0.3">
      <c r="A13" s="9"/>
      <c r="B13" s="9"/>
      <c r="C13" s="9"/>
      <c r="D13" s="9"/>
      <c r="E13" s="50"/>
      <c r="F13" s="50"/>
      <c r="G13" s="50"/>
      <c r="H13" s="50"/>
    </row>
    <row r="14" spans="1:8" x14ac:dyDescent="0.3">
      <c r="A14" s="9"/>
      <c r="B14" s="9"/>
      <c r="C14" s="9"/>
      <c r="D14" s="9"/>
      <c r="E14" s="50"/>
      <c r="F14" s="50"/>
      <c r="G14" s="50"/>
      <c r="H14" s="50"/>
    </row>
    <row r="15" spans="1:8" x14ac:dyDescent="0.3">
      <c r="A15" s="9"/>
      <c r="B15" s="9"/>
      <c r="C15" s="9"/>
      <c r="D15" s="9"/>
      <c r="E15" s="9"/>
      <c r="F15" s="9"/>
      <c r="G15" s="9"/>
      <c r="H15" s="9"/>
    </row>
    <row r="16" spans="1:8" x14ac:dyDescent="0.3">
      <c r="A16" s="9"/>
      <c r="B16" s="9"/>
      <c r="C16" s="9"/>
      <c r="D16" s="9"/>
      <c r="E16" s="9"/>
      <c r="F16" s="9"/>
      <c r="G16" s="9"/>
      <c r="H16" s="9"/>
    </row>
    <row r="17" spans="1:8" x14ac:dyDescent="0.3">
      <c r="A17" s="49" t="s">
        <v>44</v>
      </c>
      <c r="B17" s="49"/>
      <c r="C17" s="49"/>
      <c r="D17" s="49"/>
      <c r="E17" s="49"/>
      <c r="F17" s="49"/>
      <c r="G17" s="49"/>
      <c r="H17" s="49"/>
    </row>
    <row r="18" spans="1:8" x14ac:dyDescent="0.3">
      <c r="A18" s="51" t="s">
        <v>45</v>
      </c>
      <c r="B18" s="51"/>
      <c r="C18" s="51"/>
      <c r="D18" s="51"/>
      <c r="E18" s="51"/>
      <c r="F18" s="51"/>
      <c r="G18" s="51"/>
      <c r="H18" s="51"/>
    </row>
    <row r="19" spans="1:8" x14ac:dyDescent="0.3">
      <c r="A19" s="51"/>
      <c r="B19" s="51"/>
      <c r="C19" s="51"/>
      <c r="D19" s="51"/>
      <c r="E19" s="51"/>
      <c r="F19" s="51"/>
      <c r="G19" s="51"/>
      <c r="H19" s="51"/>
    </row>
    <row r="20" spans="1:8" x14ac:dyDescent="0.3">
      <c r="A20" s="51"/>
      <c r="B20" s="51"/>
      <c r="C20" s="51"/>
      <c r="D20" s="51"/>
      <c r="E20" s="51"/>
      <c r="F20" s="51"/>
      <c r="G20" s="51"/>
      <c r="H20" s="51"/>
    </row>
    <row r="21" spans="1:8" x14ac:dyDescent="0.3">
      <c r="A21" s="51"/>
      <c r="B21" s="51"/>
      <c r="C21" s="51"/>
      <c r="D21" s="51"/>
      <c r="E21" s="51"/>
      <c r="F21" s="51"/>
      <c r="G21" s="51"/>
      <c r="H21" s="51"/>
    </row>
    <row r="22" spans="1:8" x14ac:dyDescent="0.3">
      <c r="A22" s="9"/>
      <c r="B22" s="9"/>
      <c r="C22" s="9"/>
      <c r="D22" s="9"/>
      <c r="E22" s="9"/>
      <c r="F22" s="9"/>
      <c r="G22" s="9"/>
      <c r="H22" s="9"/>
    </row>
    <row r="23" spans="1:8" x14ac:dyDescent="0.3">
      <c r="A23" s="9"/>
      <c r="B23" s="9"/>
      <c r="C23" s="9"/>
      <c r="D23" s="9"/>
      <c r="E23" s="9"/>
      <c r="F23" s="9"/>
      <c r="G23" s="9"/>
      <c r="H23" s="9"/>
    </row>
    <row r="24" spans="1:8" x14ac:dyDescent="0.3">
      <c r="A24" s="49" t="s">
        <v>46</v>
      </c>
      <c r="B24" s="49"/>
      <c r="C24" s="49"/>
      <c r="D24" s="49"/>
      <c r="E24" s="49"/>
      <c r="F24" s="49"/>
      <c r="G24" s="49"/>
      <c r="H24" s="49"/>
    </row>
    <row r="25" spans="1:8" x14ac:dyDescent="0.3">
      <c r="A25" s="8" t="s">
        <v>47</v>
      </c>
      <c r="B25" s="8" t="s">
        <v>8</v>
      </c>
      <c r="C25" s="8" t="s">
        <v>48</v>
      </c>
      <c r="D25" s="8" t="s">
        <v>38</v>
      </c>
      <c r="E25" s="8" t="s">
        <v>41</v>
      </c>
      <c r="F25" s="8" t="s">
        <v>49</v>
      </c>
      <c r="G25" s="8" t="s">
        <v>3</v>
      </c>
      <c r="H25" s="9"/>
    </row>
    <row r="26" spans="1:8" x14ac:dyDescent="0.3">
      <c r="A26" s="14">
        <v>0.9</v>
      </c>
      <c r="B26" s="15">
        <v>0.1</v>
      </c>
      <c r="C26" s="16" t="e">
        <f ca="1">_xludf.CONFIDENCE.NORM(B26,$C$8,$C$9)</f>
        <v>#NAME?</v>
      </c>
      <c r="D26" s="16" t="e">
        <f ca="1">$C$7-C26</f>
        <v>#NAME?</v>
      </c>
      <c r="E26" s="16" t="e">
        <f ca="1">$C$7+C26</f>
        <v>#NAME?</v>
      </c>
      <c r="F26" s="16" t="e">
        <f ca="1">E26-D26</f>
        <v>#NAME?</v>
      </c>
      <c r="G26" s="17" t="s">
        <v>50</v>
      </c>
      <c r="H26" s="9"/>
    </row>
    <row r="27" spans="1:8" x14ac:dyDescent="0.3">
      <c r="A27" s="18">
        <v>0.95</v>
      </c>
      <c r="B27" s="19">
        <v>0.05</v>
      </c>
      <c r="C27" s="20" t="e">
        <f ca="1">_xludf.CONFIDENCE.NORM(B27,$C$8,$C$9)</f>
        <v>#NAME?</v>
      </c>
      <c r="D27" s="20" t="e">
        <f ca="1">$C$7-C27</f>
        <v>#NAME?</v>
      </c>
      <c r="E27" s="20" t="e">
        <f ca="1">$C$7+C27</f>
        <v>#NAME?</v>
      </c>
      <c r="F27" s="20" t="e">
        <f ca="1">E27-D27</f>
        <v>#NAME?</v>
      </c>
      <c r="G27" s="21" t="s">
        <v>51</v>
      </c>
      <c r="H27" s="9"/>
    </row>
    <row r="28" spans="1:8" x14ac:dyDescent="0.3">
      <c r="A28" s="22">
        <v>0.99</v>
      </c>
      <c r="B28" s="23">
        <v>0.01</v>
      </c>
      <c r="C28" s="24" t="e">
        <f ca="1">_xludf.CONFIDENCE.NORM(B28,$C$8,$C$9)</f>
        <v>#NAME?</v>
      </c>
      <c r="D28" s="24" t="e">
        <f ca="1">$C$7-C28</f>
        <v>#NAME?</v>
      </c>
      <c r="E28" s="24" t="e">
        <f ca="1">$C$7+C28</f>
        <v>#NAME?</v>
      </c>
      <c r="F28" s="24" t="e">
        <f ca="1">E28-D28</f>
        <v>#NAME?</v>
      </c>
      <c r="G28" s="25" t="s">
        <v>52</v>
      </c>
      <c r="H28" s="9"/>
    </row>
    <row r="29" spans="1:8" x14ac:dyDescent="0.3">
      <c r="A29" s="9"/>
      <c r="B29" s="9"/>
      <c r="C29" s="9"/>
      <c r="D29" s="9"/>
      <c r="E29" s="9"/>
      <c r="F29" s="9"/>
      <c r="G29" s="9"/>
      <c r="H29" s="9"/>
    </row>
    <row r="30" spans="1:8" x14ac:dyDescent="0.3">
      <c r="A30" s="9"/>
      <c r="B30" s="9"/>
      <c r="C30" s="9"/>
      <c r="D30" s="9"/>
      <c r="E30" s="9"/>
      <c r="F30" s="9"/>
      <c r="G30" s="9"/>
      <c r="H30" s="9"/>
    </row>
    <row r="31" spans="1:8" x14ac:dyDescent="0.3">
      <c r="A31" s="52" t="s">
        <v>53</v>
      </c>
      <c r="B31" s="52"/>
      <c r="C31" s="52"/>
      <c r="D31" s="52"/>
      <c r="E31" s="52"/>
      <c r="F31" s="52"/>
      <c r="G31" s="52"/>
      <c r="H31" s="52"/>
    </row>
    <row r="32" spans="1:8" x14ac:dyDescent="0.3">
      <c r="A32" s="52"/>
      <c r="B32" s="52"/>
      <c r="C32" s="52"/>
      <c r="D32" s="52"/>
      <c r="E32" s="52"/>
      <c r="F32" s="52"/>
      <c r="G32" s="52"/>
      <c r="H32" s="52"/>
    </row>
    <row r="33" spans="1:8" x14ac:dyDescent="0.3">
      <c r="A33" s="9"/>
      <c r="B33" s="9"/>
      <c r="C33" s="9"/>
      <c r="D33" s="9"/>
      <c r="E33" s="9"/>
      <c r="F33" s="9"/>
      <c r="G33" s="9"/>
      <c r="H33" s="9"/>
    </row>
    <row r="34" spans="1:8" x14ac:dyDescent="0.3">
      <c r="A34" s="9"/>
      <c r="B34" s="9"/>
      <c r="C34" s="9"/>
      <c r="D34" s="9"/>
      <c r="E34" s="9"/>
      <c r="F34" s="9"/>
      <c r="G34" s="9"/>
      <c r="H34" s="9"/>
    </row>
    <row r="35" spans="1:8" x14ac:dyDescent="0.3">
      <c r="A35" s="49" t="s">
        <v>54</v>
      </c>
      <c r="B35" s="49"/>
      <c r="C35" s="49"/>
      <c r="D35" s="49"/>
      <c r="E35" s="49"/>
      <c r="F35" s="49"/>
      <c r="G35" s="49"/>
      <c r="H35" s="49"/>
    </row>
    <row r="36" spans="1:8" x14ac:dyDescent="0.3">
      <c r="A36" s="8" t="s">
        <v>55</v>
      </c>
      <c r="B36" s="8" t="s">
        <v>56</v>
      </c>
      <c r="C36" s="8" t="s">
        <v>47</v>
      </c>
      <c r="D36" s="8" t="s">
        <v>8</v>
      </c>
      <c r="E36" s="8" t="s">
        <v>57</v>
      </c>
      <c r="F36" s="8" t="s">
        <v>58</v>
      </c>
      <c r="G36" s="9"/>
      <c r="H36" s="9"/>
    </row>
    <row r="37" spans="1:8" x14ac:dyDescent="0.3">
      <c r="A37" s="26">
        <v>81</v>
      </c>
      <c r="B37" s="27">
        <v>9</v>
      </c>
      <c r="C37" s="15">
        <v>0.95</v>
      </c>
      <c r="D37" s="15">
        <v>0.05</v>
      </c>
      <c r="E37" s="28" t="e">
        <f ca="1">_xludf.CONFIDENCE.NORM(D37,B37,A37)</f>
        <v>#NAME?</v>
      </c>
      <c r="F37" s="29" t="e">
        <f ca="1">TEXT($C$7-E37,"0.00")&amp;" – "&amp;TEXT($C$7+E37,"0.00")</f>
        <v>#NAME?</v>
      </c>
      <c r="G37" s="9"/>
      <c r="H37" s="9"/>
    </row>
    <row r="38" spans="1:8" x14ac:dyDescent="0.3">
      <c r="A38" s="30">
        <v>324</v>
      </c>
      <c r="B38" s="31">
        <v>9</v>
      </c>
      <c r="C38" s="23">
        <v>0.95</v>
      </c>
      <c r="D38" s="23">
        <v>0.05</v>
      </c>
      <c r="E38" s="32" t="e">
        <f ca="1">_xludf.CONFIDENCE.NORM(D38,B38,A38)</f>
        <v>#NAME?</v>
      </c>
      <c r="F38" s="33" t="e">
        <f ca="1">TEXT($C$7-E38,"0.00")&amp;" – "&amp;TEXT($C$7+E38,"0.00")</f>
        <v>#NAME?</v>
      </c>
      <c r="G38" s="9"/>
      <c r="H38" s="9"/>
    </row>
    <row r="39" spans="1:8" x14ac:dyDescent="0.3">
      <c r="A39" s="9"/>
      <c r="B39" s="9"/>
      <c r="C39" s="9"/>
      <c r="D39" s="9"/>
      <c r="E39" s="9"/>
      <c r="F39" s="9"/>
      <c r="G39" s="9"/>
      <c r="H39" s="9"/>
    </row>
    <row r="40" spans="1:8" x14ac:dyDescent="0.3">
      <c r="A40" s="9"/>
      <c r="B40" s="9"/>
      <c r="C40" s="9"/>
      <c r="D40" s="9"/>
      <c r="E40" s="9"/>
      <c r="F40" s="9"/>
      <c r="G40" s="9"/>
      <c r="H40" s="9"/>
    </row>
    <row r="41" spans="1:8" x14ac:dyDescent="0.3">
      <c r="A41" s="53" t="e">
        <f ca="1">"Quadruplicando n da 81 a 324, la radice quadrata di n raddoppia. Poiché il margine è proporzionale a 1/√n, il margine si dimezza: da "&amp;TEXT(E37,"0.00")&amp;" a "&amp;TEXT(E38,"0.00")&amp;"."</f>
        <v>#NAME?</v>
      </c>
      <c r="B41" s="53"/>
      <c r="C41" s="53"/>
      <c r="D41" s="53"/>
      <c r="E41" s="53"/>
      <c r="F41" s="53"/>
      <c r="G41" s="53"/>
      <c r="H41" s="53"/>
    </row>
    <row r="42" spans="1:8" x14ac:dyDescent="0.3">
      <c r="A42" s="53"/>
      <c r="B42" s="53"/>
      <c r="C42" s="53"/>
      <c r="D42" s="53"/>
      <c r="E42" s="53"/>
      <c r="F42" s="53"/>
      <c r="G42" s="53"/>
      <c r="H42" s="53"/>
    </row>
    <row r="43" spans="1:8" x14ac:dyDescent="0.3">
      <c r="A43" s="53"/>
      <c r="B43" s="53"/>
      <c r="C43" s="53"/>
      <c r="D43" s="53"/>
      <c r="E43" s="53"/>
      <c r="F43" s="53"/>
      <c r="G43" s="53"/>
      <c r="H43" s="53"/>
    </row>
    <row r="44" spans="1:8" x14ac:dyDescent="0.3">
      <c r="A44" s="9"/>
      <c r="B44" s="9"/>
      <c r="C44" s="9"/>
      <c r="D44" s="9"/>
      <c r="E44" s="9"/>
      <c r="F44" s="9"/>
      <c r="G44" s="9"/>
      <c r="H44" s="9"/>
    </row>
    <row r="45" spans="1:8" x14ac:dyDescent="0.3">
      <c r="A45" s="9"/>
      <c r="B45" s="9"/>
      <c r="C45" s="9"/>
      <c r="D45" s="9"/>
      <c r="E45" s="9"/>
      <c r="F45" s="9"/>
      <c r="G45" s="9"/>
      <c r="H45" s="9"/>
    </row>
  </sheetData>
  <mergeCells count="11">
    <mergeCell ref="A41:H43"/>
    <mergeCell ref="A17:H17"/>
    <mergeCell ref="A18:H21"/>
    <mergeCell ref="A24:H24"/>
    <mergeCell ref="A31:H32"/>
    <mergeCell ref="A35:H35"/>
    <mergeCell ref="A1:H1"/>
    <mergeCell ref="A3:H3"/>
    <mergeCell ref="A5:C5"/>
    <mergeCell ref="E5:H5"/>
    <mergeCell ref="E12:H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2"/>
  <sheetViews>
    <sheetView showGridLines="0" workbookViewId="0"/>
  </sheetViews>
  <sheetFormatPr defaultRowHeight="14.4" x14ac:dyDescent="0.3"/>
  <cols>
    <col min="1" max="1" width="27" customWidth="1"/>
    <col min="2" max="2" width="30" customWidth="1"/>
    <col min="3" max="3" width="31" customWidth="1"/>
    <col min="4" max="4" width="37" customWidth="1"/>
    <col min="5" max="5" width="20" customWidth="1"/>
    <col min="6" max="6" width="43" customWidth="1"/>
  </cols>
  <sheetData>
    <row r="1" spans="1:6" ht="34.049999999999997" customHeight="1" x14ac:dyDescent="0.3">
      <c r="A1" s="47" t="s">
        <v>59</v>
      </c>
      <c r="B1" s="47"/>
      <c r="C1" s="47"/>
      <c r="D1" s="47"/>
      <c r="E1" s="47"/>
      <c r="F1" s="47"/>
    </row>
    <row r="2" spans="1:6" x14ac:dyDescent="0.3">
      <c r="A2" s="35"/>
      <c r="B2" s="35"/>
      <c r="C2" s="35"/>
      <c r="D2" s="35"/>
      <c r="E2" s="35"/>
      <c r="F2" s="35"/>
    </row>
    <row r="3" spans="1:6" x14ac:dyDescent="0.3">
      <c r="A3" s="54" t="s">
        <v>60</v>
      </c>
      <c r="B3" s="54"/>
      <c r="C3" s="54"/>
      <c r="D3" s="54"/>
      <c r="E3" s="54"/>
      <c r="F3" s="54"/>
    </row>
    <row r="4" spans="1:6" x14ac:dyDescent="0.3">
      <c r="A4" s="35"/>
      <c r="B4" s="35"/>
      <c r="C4" s="35"/>
      <c r="D4" s="35"/>
      <c r="E4" s="35"/>
      <c r="F4" s="35"/>
    </row>
    <row r="5" spans="1:6" x14ac:dyDescent="0.3">
      <c r="A5" s="55" t="s">
        <v>61</v>
      </c>
      <c r="B5" s="55"/>
      <c r="C5" s="55"/>
      <c r="D5" s="55"/>
      <c r="E5" s="55"/>
      <c r="F5" s="55"/>
    </row>
    <row r="6" spans="1:6" x14ac:dyDescent="0.3">
      <c r="A6" s="34" t="s">
        <v>62</v>
      </c>
      <c r="B6" s="34" t="s">
        <v>63</v>
      </c>
      <c r="C6" s="34" t="s">
        <v>64</v>
      </c>
      <c r="D6" s="34" t="s">
        <v>65</v>
      </c>
      <c r="E6" s="34" t="s">
        <v>27</v>
      </c>
      <c r="F6" s="34" t="s">
        <v>66</v>
      </c>
    </row>
    <row r="7" spans="1:6" x14ac:dyDescent="0.3">
      <c r="A7" s="35" t="s">
        <v>67</v>
      </c>
      <c r="B7" s="35" t="s">
        <v>68</v>
      </c>
      <c r="C7" s="35" t="s">
        <v>69</v>
      </c>
      <c r="D7" s="35" t="s">
        <v>70</v>
      </c>
      <c r="E7" s="38">
        <f>SUM(Campione_IC!A5:A85)</f>
        <v>4212.0000000000009</v>
      </c>
      <c r="F7" s="35" t="s">
        <v>71</v>
      </c>
    </row>
    <row r="8" spans="1:6" x14ac:dyDescent="0.3">
      <c r="A8" s="35" t="s">
        <v>72</v>
      </c>
      <c r="B8" s="35" t="s">
        <v>73</v>
      </c>
      <c r="C8" s="35" t="s">
        <v>74</v>
      </c>
      <c r="D8" s="35" t="s">
        <v>75</v>
      </c>
      <c r="E8" s="38">
        <f>COUNT(Campione_IC!A5:A85)</f>
        <v>81</v>
      </c>
      <c r="F8" s="35" t="s">
        <v>76</v>
      </c>
    </row>
    <row r="9" spans="1:6" x14ac:dyDescent="0.3">
      <c r="A9" s="35" t="s">
        <v>28</v>
      </c>
      <c r="B9" s="35" t="s">
        <v>77</v>
      </c>
      <c r="C9" s="35" t="s">
        <v>78</v>
      </c>
      <c r="D9" s="35" t="s">
        <v>79</v>
      </c>
      <c r="E9" s="38">
        <f>E7/E8</f>
        <v>52.000000000000014</v>
      </c>
      <c r="F9" s="35" t="s">
        <v>80</v>
      </c>
    </row>
    <row r="10" spans="1:6" x14ac:dyDescent="0.3">
      <c r="A10" s="35"/>
      <c r="B10" s="35"/>
      <c r="C10" s="35"/>
      <c r="D10" s="35"/>
      <c r="E10" s="36"/>
      <c r="F10" s="35"/>
    </row>
    <row r="11" spans="1:6" x14ac:dyDescent="0.3">
      <c r="A11" s="35"/>
      <c r="B11" s="35"/>
      <c r="C11" s="35"/>
      <c r="D11" s="35"/>
      <c r="E11" s="36"/>
      <c r="F11" s="35"/>
    </row>
    <row r="12" spans="1:6" x14ac:dyDescent="0.3">
      <c r="A12" s="55" t="s">
        <v>81</v>
      </c>
      <c r="B12" s="55"/>
      <c r="C12" s="55"/>
      <c r="D12" s="55"/>
      <c r="E12" s="56"/>
      <c r="F12" s="55"/>
    </row>
    <row r="13" spans="1:6" x14ac:dyDescent="0.3">
      <c r="A13" s="34" t="s">
        <v>62</v>
      </c>
      <c r="B13" s="34" t="s">
        <v>63</v>
      </c>
      <c r="C13" s="34" t="s">
        <v>64</v>
      </c>
      <c r="D13" s="34" t="s">
        <v>65</v>
      </c>
      <c r="E13" s="37" t="s">
        <v>27</v>
      </c>
      <c r="F13" s="34" t="s">
        <v>66</v>
      </c>
    </row>
    <row r="14" spans="1:6" x14ac:dyDescent="0.3">
      <c r="A14" s="35" t="s">
        <v>8</v>
      </c>
      <c r="B14" s="35" t="s">
        <v>82</v>
      </c>
      <c r="C14" s="35" t="s">
        <v>83</v>
      </c>
      <c r="D14" s="35" t="s">
        <v>84</v>
      </c>
      <c r="E14" s="39">
        <f>1-'Soluzione completa'!C10</f>
        <v>5.0000000000000044E-2</v>
      </c>
      <c r="F14" s="35" t="s">
        <v>85</v>
      </c>
    </row>
    <row r="15" spans="1:6" x14ac:dyDescent="0.3">
      <c r="A15" s="35" t="s">
        <v>86</v>
      </c>
      <c r="B15" s="35" t="s">
        <v>87</v>
      </c>
      <c r="C15" s="35" t="s">
        <v>88</v>
      </c>
      <c r="D15" s="35" t="s">
        <v>89</v>
      </c>
      <c r="E15" s="40" t="e">
        <f ca="1">_xludf.NORM.S.INV(1-E14/2)</f>
        <v>#NAME?</v>
      </c>
      <c r="F15" s="35" t="s">
        <v>90</v>
      </c>
    </row>
    <row r="16" spans="1:6" x14ac:dyDescent="0.3">
      <c r="A16" s="35" t="s">
        <v>91</v>
      </c>
      <c r="B16" s="35" t="s">
        <v>92</v>
      </c>
      <c r="C16" s="35" t="s">
        <v>93</v>
      </c>
      <c r="D16" s="35" t="s">
        <v>94</v>
      </c>
      <c r="E16" s="40">
        <f>'Soluzione completa'!C8/SQRT('Soluzione completa'!C9)</f>
        <v>1</v>
      </c>
      <c r="F16" s="35" t="s">
        <v>95</v>
      </c>
    </row>
    <row r="17" spans="1:6" x14ac:dyDescent="0.3">
      <c r="A17" s="35" t="s">
        <v>34</v>
      </c>
      <c r="B17" s="35" t="s">
        <v>96</v>
      </c>
      <c r="C17" s="35" t="s">
        <v>97</v>
      </c>
      <c r="D17" s="35" t="s">
        <v>98</v>
      </c>
      <c r="E17" s="40" t="e">
        <f ca="1">E15*E16</f>
        <v>#NAME?</v>
      </c>
      <c r="F17" s="35" t="s">
        <v>99</v>
      </c>
    </row>
    <row r="18" spans="1:6" ht="27.6" x14ac:dyDescent="0.3">
      <c r="A18" s="35" t="s">
        <v>100</v>
      </c>
      <c r="B18" s="35" t="s">
        <v>101</v>
      </c>
      <c r="C18" s="35" t="s">
        <v>102</v>
      </c>
      <c r="D18" s="35" t="s">
        <v>103</v>
      </c>
      <c r="E18" s="40" t="e">
        <f ca="1">_xludf.CONFIDENCE.NORM(E14,'Soluzione completa'!C8,'Soluzione completa'!C9)</f>
        <v>#NAME?</v>
      </c>
      <c r="F18" s="35" t="s">
        <v>104</v>
      </c>
    </row>
    <row r="19" spans="1:6" x14ac:dyDescent="0.3">
      <c r="A19" s="35" t="s">
        <v>38</v>
      </c>
      <c r="B19" s="35" t="s">
        <v>105</v>
      </c>
      <c r="C19" s="35" t="s">
        <v>106</v>
      </c>
      <c r="D19" s="35" t="s">
        <v>107</v>
      </c>
      <c r="E19" s="40" t="e">
        <f ca="1">'Soluzione completa'!C7-E17</f>
        <v>#NAME?</v>
      </c>
      <c r="F19" s="35" t="s">
        <v>108</v>
      </c>
    </row>
    <row r="20" spans="1:6" x14ac:dyDescent="0.3">
      <c r="A20" s="35" t="s">
        <v>41</v>
      </c>
      <c r="B20" s="35" t="s">
        <v>109</v>
      </c>
      <c r="C20" s="35" t="s">
        <v>110</v>
      </c>
      <c r="D20" s="35" t="s">
        <v>111</v>
      </c>
      <c r="E20" s="40" t="e">
        <f ca="1">'Soluzione completa'!C7+E17</f>
        <v>#NAME?</v>
      </c>
      <c r="F20" s="35" t="s">
        <v>112</v>
      </c>
    </row>
    <row r="21" spans="1:6" x14ac:dyDescent="0.3">
      <c r="A21" s="35"/>
      <c r="B21" s="35"/>
      <c r="C21" s="35"/>
      <c r="D21" s="35"/>
      <c r="E21" s="36"/>
      <c r="F21" s="35"/>
    </row>
    <row r="22" spans="1:6" x14ac:dyDescent="0.3">
      <c r="A22" s="35"/>
      <c r="B22" s="35"/>
      <c r="C22" s="35"/>
      <c r="D22" s="35"/>
      <c r="E22" s="36"/>
      <c r="F22" s="35"/>
    </row>
    <row r="23" spans="1:6" x14ac:dyDescent="0.3">
      <c r="A23" s="55" t="s">
        <v>113</v>
      </c>
      <c r="B23" s="55"/>
      <c r="C23" s="55"/>
      <c r="D23" s="55"/>
      <c r="E23" s="56"/>
      <c r="F23" s="55"/>
    </row>
    <row r="24" spans="1:6" x14ac:dyDescent="0.3">
      <c r="A24" s="34" t="s">
        <v>47</v>
      </c>
      <c r="B24" s="34" t="s">
        <v>114</v>
      </c>
      <c r="C24" s="34" t="s">
        <v>86</v>
      </c>
      <c r="D24" s="34" t="s">
        <v>115</v>
      </c>
      <c r="E24" s="37" t="s">
        <v>116</v>
      </c>
      <c r="F24" s="34" t="s">
        <v>117</v>
      </c>
    </row>
    <row r="25" spans="1:6" x14ac:dyDescent="0.3">
      <c r="A25" s="41">
        <v>0.9</v>
      </c>
      <c r="B25" s="41">
        <f>1-A25</f>
        <v>9.9999999999999978E-2</v>
      </c>
      <c r="C25" s="42" t="e">
        <f ca="1">_xludf.NORM.S.INV(1-B25/2)</f>
        <v>#NAME?</v>
      </c>
      <c r="D25" s="42" t="e">
        <f ca="1">C25*'Soluzione completa'!$C$8/SQRT('Soluzione completa'!$C$9)</f>
        <v>#NAME?</v>
      </c>
      <c r="E25" s="36" t="e">
        <f ca="1">TEXT('Soluzione completa'!$C$7-D25,"0.00")&amp;" – "&amp;TEXT('Soluzione completa'!$C$7+D25,"0.00")</f>
        <v>#NAME?</v>
      </c>
      <c r="F25" s="42" t="e">
        <f ca="1">2*D25</f>
        <v>#NAME?</v>
      </c>
    </row>
    <row r="26" spans="1:6" x14ac:dyDescent="0.3">
      <c r="A26" s="41">
        <v>0.95</v>
      </c>
      <c r="B26" s="41">
        <f>1-A26</f>
        <v>5.0000000000000044E-2</v>
      </c>
      <c r="C26" s="42" t="e">
        <f ca="1">_xludf.NORM.S.INV(1-B26/2)</f>
        <v>#NAME?</v>
      </c>
      <c r="D26" s="42" t="e">
        <f ca="1">C26*'Soluzione completa'!$C$8/SQRT('Soluzione completa'!$C$9)</f>
        <v>#NAME?</v>
      </c>
      <c r="E26" s="36" t="e">
        <f ca="1">TEXT('Soluzione completa'!$C$7-D26,"0.00")&amp;" – "&amp;TEXT('Soluzione completa'!$C$7+D26,"0.00")</f>
        <v>#NAME?</v>
      </c>
      <c r="F26" s="42" t="e">
        <f ca="1">2*D26</f>
        <v>#NAME?</v>
      </c>
    </row>
    <row r="27" spans="1:6" x14ac:dyDescent="0.3">
      <c r="A27" s="41">
        <v>0.99</v>
      </c>
      <c r="B27" s="41">
        <f>1-A27</f>
        <v>1.0000000000000009E-2</v>
      </c>
      <c r="C27" s="42" t="e">
        <f ca="1">_xludf.NORM.S.INV(1-B27/2)</f>
        <v>#NAME?</v>
      </c>
      <c r="D27" s="42" t="e">
        <f ca="1">C27*'Soluzione completa'!$C$8/SQRT('Soluzione completa'!$C$9)</f>
        <v>#NAME?</v>
      </c>
      <c r="E27" s="36" t="e">
        <f ca="1">TEXT('Soluzione completa'!$C$7-D27,"0.00")&amp;" – "&amp;TEXT('Soluzione completa'!$C$7+D27,"0.00")</f>
        <v>#NAME?</v>
      </c>
      <c r="F27" s="42" t="e">
        <f ca="1">2*D27</f>
        <v>#NAME?</v>
      </c>
    </row>
    <row r="28" spans="1:6" x14ac:dyDescent="0.3">
      <c r="A28" s="35"/>
      <c r="B28" s="35"/>
      <c r="C28" s="35"/>
      <c r="D28" s="35"/>
      <c r="E28" s="36"/>
      <c r="F28" s="35"/>
    </row>
    <row r="29" spans="1:6" x14ac:dyDescent="0.3">
      <c r="A29" s="35"/>
      <c r="B29" s="35"/>
      <c r="C29" s="35"/>
      <c r="D29" s="35"/>
      <c r="E29" s="36"/>
      <c r="F29" s="35"/>
    </row>
    <row r="30" spans="1:6" x14ac:dyDescent="0.3">
      <c r="A30" s="55" t="s">
        <v>118</v>
      </c>
      <c r="B30" s="55"/>
      <c r="C30" s="55"/>
      <c r="D30" s="55"/>
      <c r="E30" s="56"/>
      <c r="F30" s="55"/>
    </row>
    <row r="31" spans="1:6" x14ac:dyDescent="0.3">
      <c r="A31" s="34" t="s">
        <v>62</v>
      </c>
      <c r="B31" s="34" t="s">
        <v>63</v>
      </c>
      <c r="C31" s="34" t="s">
        <v>64</v>
      </c>
      <c r="D31" s="34" t="s">
        <v>65</v>
      </c>
      <c r="E31" s="37" t="s">
        <v>27</v>
      </c>
      <c r="F31" s="34" t="s">
        <v>119</v>
      </c>
    </row>
    <row r="32" spans="1:6" x14ac:dyDescent="0.3">
      <c r="A32" s="35" t="s">
        <v>120</v>
      </c>
      <c r="B32" s="35" t="s">
        <v>92</v>
      </c>
      <c r="C32" s="35" t="s">
        <v>121</v>
      </c>
      <c r="D32" s="35" t="s">
        <v>122</v>
      </c>
      <c r="E32" s="40">
        <f>'Soluzione completa'!C8/SQRT(324)</f>
        <v>0.5</v>
      </c>
      <c r="F32" s="35" t="s">
        <v>123</v>
      </c>
    </row>
    <row r="33" spans="1:6" x14ac:dyDescent="0.3">
      <c r="A33" s="35" t="s">
        <v>124</v>
      </c>
      <c r="B33" s="35" t="s">
        <v>96</v>
      </c>
      <c r="C33" s="35" t="s">
        <v>125</v>
      </c>
      <c r="D33" s="35" t="s">
        <v>126</v>
      </c>
      <c r="E33" s="40" t="e">
        <f ca="1">_xludf.NORM.S.INV(1-'Soluzione completa'!C11/2)*E32</f>
        <v>#NAME?</v>
      </c>
      <c r="F33" s="35" t="s">
        <v>127</v>
      </c>
    </row>
    <row r="34" spans="1:6" x14ac:dyDescent="0.3">
      <c r="A34" s="35" t="s">
        <v>128</v>
      </c>
      <c r="B34" s="35" t="s">
        <v>105</v>
      </c>
      <c r="C34" s="35" t="s">
        <v>129</v>
      </c>
      <c r="D34" s="35" t="s">
        <v>130</v>
      </c>
      <c r="E34" s="40" t="e">
        <f ca="1">'Soluzione completa'!C7-E33</f>
        <v>#NAME?</v>
      </c>
      <c r="F34" s="35" t="s">
        <v>131</v>
      </c>
    </row>
    <row r="35" spans="1:6" x14ac:dyDescent="0.3">
      <c r="A35" s="35" t="s">
        <v>132</v>
      </c>
      <c r="B35" s="35" t="s">
        <v>109</v>
      </c>
      <c r="C35" s="35" t="s">
        <v>133</v>
      </c>
      <c r="D35" s="35" t="s">
        <v>134</v>
      </c>
      <c r="E35" s="40" t="e">
        <f ca="1">'Soluzione completa'!C7+E33</f>
        <v>#NAME?</v>
      </c>
      <c r="F35" s="35" t="s">
        <v>135</v>
      </c>
    </row>
    <row r="36" spans="1:6" x14ac:dyDescent="0.3">
      <c r="A36" s="35" t="s">
        <v>136</v>
      </c>
      <c r="B36" s="35" t="s">
        <v>137</v>
      </c>
      <c r="C36" s="35" t="s">
        <v>138</v>
      </c>
      <c r="D36" s="35" t="s">
        <v>139</v>
      </c>
      <c r="E36" s="38" t="e">
        <f ca="1">E33/E17</f>
        <v>#NAME?</v>
      </c>
      <c r="F36" s="35" t="s">
        <v>140</v>
      </c>
    </row>
    <row r="37" spans="1:6" x14ac:dyDescent="0.3">
      <c r="A37" s="35"/>
      <c r="B37" s="35"/>
      <c r="C37" s="35"/>
      <c r="D37" s="35"/>
      <c r="E37" s="35"/>
      <c r="F37" s="35"/>
    </row>
    <row r="38" spans="1:6" x14ac:dyDescent="0.3">
      <c r="A38" s="35"/>
      <c r="B38" s="35"/>
      <c r="C38" s="35"/>
      <c r="D38" s="35"/>
      <c r="E38" s="35"/>
      <c r="F38" s="35"/>
    </row>
    <row r="39" spans="1:6" x14ac:dyDescent="0.3">
      <c r="A39" s="57" t="s">
        <v>141</v>
      </c>
      <c r="B39" s="57"/>
      <c r="C39" s="57"/>
      <c r="D39" s="57"/>
      <c r="E39" s="57"/>
      <c r="F39" s="57"/>
    </row>
    <row r="40" spans="1:6" x14ac:dyDescent="0.3">
      <c r="A40" s="57"/>
      <c r="B40" s="57"/>
      <c r="C40" s="57"/>
      <c r="D40" s="57"/>
      <c r="E40" s="57"/>
      <c r="F40" s="57"/>
    </row>
    <row r="41" spans="1:6" x14ac:dyDescent="0.3">
      <c r="A41" s="57"/>
      <c r="B41" s="57"/>
      <c r="C41" s="57"/>
      <c r="D41" s="57"/>
      <c r="E41" s="57"/>
      <c r="F41" s="57"/>
    </row>
    <row r="42" spans="1:6" x14ac:dyDescent="0.3">
      <c r="A42" s="35"/>
      <c r="B42" s="35"/>
      <c r="C42" s="35"/>
      <c r="D42" s="35"/>
      <c r="E42" s="35"/>
      <c r="F42" s="35"/>
    </row>
  </sheetData>
  <mergeCells count="7">
    <mergeCell ref="A30:F30"/>
    <mergeCell ref="A39:F41"/>
    <mergeCell ref="A1:F1"/>
    <mergeCell ref="A3:F3"/>
    <mergeCell ref="A5:F5"/>
    <mergeCell ref="A12:F12"/>
    <mergeCell ref="A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Campione_IC</vt:lpstr>
      <vt:lpstr>Soluzione completa</vt:lpstr>
      <vt:lpstr>Calcoli espliciti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arlette fotso wejie</cp:lastModifiedBy>
  <dcterms:modified xsi:type="dcterms:W3CDTF">2026-08-18T14:49:36Z</dcterms:modified>
</cp:coreProperties>
</file>